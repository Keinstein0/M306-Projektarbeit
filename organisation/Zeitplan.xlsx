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\source\repos\M306-Projektarbeit\organisation\"/>
    </mc:Choice>
  </mc:AlternateContent>
  <xr:revisionPtr revIDLastSave="0" documentId="13_ncr:1_{8E436E08-5FCA-4409-8932-9AB1D06709F1}" xr6:coauthVersionLast="47" xr6:coauthVersionMax="47" xr10:uidLastSave="{00000000-0000-0000-0000-000000000000}"/>
  <bookViews>
    <workbookView xWindow="-103" yWindow="-103" windowWidth="27634" windowHeight="14914" xr2:uid="{00000000-000D-0000-FFFF-FFFF00000000}"/>
  </bookViews>
  <sheets>
    <sheet name="Zeitplan" sheetId="1" r:id="rId1"/>
  </sheets>
  <definedNames>
    <definedName name="_xlnm.Print_Titles" localSheetId="0">Zeitplan!$3:$4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P3" i="1"/>
  <c r="N3" i="1"/>
  <c r="L3" i="1"/>
  <c r="J3" i="1"/>
  <c r="H3" i="1"/>
  <c r="F3" i="1"/>
  <c r="D3" i="1"/>
</calcChain>
</file>

<file path=xl/sharedStrings.xml><?xml version="1.0" encoding="utf-8"?>
<sst xmlns="http://schemas.openxmlformats.org/spreadsheetml/2006/main" count="88" uniqueCount="74">
  <si>
    <t>Phase</t>
  </si>
  <si>
    <t>Nr.</t>
  </si>
  <si>
    <t>Tätigkeit</t>
  </si>
  <si>
    <t>12:30</t>
  </si>
  <si>
    <t>15:00</t>
  </si>
  <si>
    <t>Informieren</t>
  </si>
  <si>
    <t>1.0</t>
  </si>
  <si>
    <t>Idee</t>
  </si>
  <si>
    <t>1.1</t>
  </si>
  <si>
    <t>Projektantrag</t>
  </si>
  <si>
    <t>1.2</t>
  </si>
  <si>
    <t>Anforderungsanalyse</t>
  </si>
  <si>
    <t>1.3</t>
  </si>
  <si>
    <t>Zeitplan</t>
  </si>
  <si>
    <t>1.4</t>
  </si>
  <si>
    <t>Recherche</t>
  </si>
  <si>
    <t>Planen</t>
  </si>
  <si>
    <t>2.0</t>
  </si>
  <si>
    <t>Tätigkeitsliste</t>
  </si>
  <si>
    <t>2.1</t>
  </si>
  <si>
    <t>Testspezifikationen</t>
  </si>
  <si>
    <t>2.2</t>
  </si>
  <si>
    <t>Pflichtenheft</t>
  </si>
  <si>
    <t>Entscheiden</t>
  </si>
  <si>
    <t>3.0</t>
  </si>
  <si>
    <t>Entscheidung</t>
  </si>
  <si>
    <t>Realisieren</t>
  </si>
  <si>
    <t>4.0</t>
  </si>
  <si>
    <t>Realisierungsschritte beschreiben</t>
  </si>
  <si>
    <t>4.1</t>
  </si>
  <si>
    <t>4.2</t>
  </si>
  <si>
    <t>4.3</t>
  </si>
  <si>
    <t>4.4</t>
  </si>
  <si>
    <t>4.5</t>
  </si>
  <si>
    <t>4.6</t>
  </si>
  <si>
    <t>Kontrollieren</t>
  </si>
  <si>
    <t>5.0</t>
  </si>
  <si>
    <t>Testprotokoll</t>
  </si>
  <si>
    <t>5.1</t>
  </si>
  <si>
    <t>Testfazit</t>
  </si>
  <si>
    <t>Auswerten</t>
  </si>
  <si>
    <t>6.0</t>
  </si>
  <si>
    <t>Gute Erfahrungen</t>
  </si>
  <si>
    <t>6.1</t>
  </si>
  <si>
    <t>Schlechte Erfahrungen</t>
  </si>
  <si>
    <t>6.2</t>
  </si>
  <si>
    <t>Verbesserungsmöglichkeiten</t>
  </si>
  <si>
    <t>6.3</t>
  </si>
  <si>
    <t>Das hat uns gefallen</t>
  </si>
  <si>
    <t>6.4</t>
  </si>
  <si>
    <t>Das hat uns nicht gefallen</t>
  </si>
  <si>
    <t>6.5</t>
  </si>
  <si>
    <t>Das wollen wir nächstes Mal anders machen</t>
  </si>
  <si>
    <t>Dokumentation</t>
  </si>
  <si>
    <t>7.0</t>
  </si>
  <si>
    <t>Dokumentation des Projektes</t>
  </si>
  <si>
    <t>7.1</t>
  </si>
  <si>
    <t>Arbeitsjournal</t>
  </si>
  <si>
    <t>Diverses</t>
  </si>
  <si>
    <t>8.1</t>
  </si>
  <si>
    <t>Schlussarbeiten</t>
  </si>
  <si>
    <t>8.2</t>
  </si>
  <si>
    <t>Reserve</t>
  </si>
  <si>
    <t>Legende:</t>
  </si>
  <si>
    <t>Soll-Zustand</t>
  </si>
  <si>
    <t>Ist-Zustand</t>
  </si>
  <si>
    <t>Meilenstein</t>
  </si>
  <si>
    <t>Startdatum:</t>
  </si>
  <si>
    <t>Aufsetzen Repository/Libraries</t>
  </si>
  <si>
    <t>Arbeit Globus</t>
  </si>
  <si>
    <t>Projektionen auf Globus</t>
  </si>
  <si>
    <t>API Fetching/Filtering</t>
  </si>
  <si>
    <t>API verarbeitbar für globus</t>
  </si>
  <si>
    <t>Integration satelliten + globus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</si>
</sst>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C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0" borderId="0" xfId="0" applyFont="1" applyAlignment="1">
      <alignment horizontal="left" vertical="center" indent="1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0" fillId="5" borderId="2" xfId="0" applyFill="1" applyBorder="1"/>
    <xf numFmtId="0" fontId="0" fillId="4" borderId="2" xfId="0" applyFill="1" applyBorder="1"/>
    <xf numFmtId="0" fontId="0" fillId="6" borderId="2" xfId="0" applyFill="1" applyBorder="1"/>
    <xf numFmtId="0" fontId="1" fillId="0" borderId="0" xfId="0" applyFont="1"/>
    <xf numFmtId="0" fontId="0" fillId="0" borderId="0" xfId="0"/>
    <xf numFmtId="164" fontId="1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zoomScaleNormal="100" workbookViewId="0">
      <pane xSplit="3" ySplit="4" topLeftCell="D5" activePane="bottomRight" state="frozen"/>
      <selection pane="topRight"/>
      <selection pane="bottomLeft"/>
      <selection pane="bottomRight" activeCell="L19" sqref="L19"/>
    </sheetView>
  </sheetViews>
  <sheetFormatPr defaultRowHeight="14.6" x14ac:dyDescent="0.4"/>
  <cols>
    <col min="1" max="1" width="14" customWidth="1"/>
    <col min="2" max="2" width="6" customWidth="1"/>
    <col min="3" max="3" width="38" customWidth="1"/>
    <col min="4" max="19" width="7" customWidth="1"/>
  </cols>
  <sheetData>
    <row r="1" spans="1:19" ht="22" customHeight="1" x14ac:dyDescent="0.4">
      <c r="A1" s="15" t="s">
        <v>67</v>
      </c>
      <c r="B1" s="16"/>
      <c r="C1" s="2">
        <v>46146</v>
      </c>
    </row>
    <row r="2" spans="1:19" ht="8.15" customHeight="1" x14ac:dyDescent="0.4"/>
    <row r="3" spans="1:19" ht="22" customHeight="1" x14ac:dyDescent="0.4">
      <c r="A3" s="20" t="s">
        <v>0</v>
      </c>
      <c r="B3" s="20" t="s">
        <v>1</v>
      </c>
      <c r="C3" s="20" t="s">
        <v>2</v>
      </c>
      <c r="D3" s="17">
        <f>$C$1+0*7</f>
        <v>46146</v>
      </c>
      <c r="E3" s="18"/>
      <c r="F3" s="17">
        <f>$C$1+1*7</f>
        <v>46153</v>
      </c>
      <c r="G3" s="18"/>
      <c r="H3" s="17">
        <f>$C$1+2*7</f>
        <v>46160</v>
      </c>
      <c r="I3" s="18"/>
      <c r="J3" s="17">
        <f>$C$1+3*7</f>
        <v>46167</v>
      </c>
      <c r="K3" s="18"/>
      <c r="L3" s="17">
        <f>$C$1+4*7</f>
        <v>46174</v>
      </c>
      <c r="M3" s="18"/>
      <c r="N3" s="17">
        <f>$C$1+5*7</f>
        <v>46181</v>
      </c>
      <c r="O3" s="18"/>
      <c r="P3" s="17">
        <f>$C$1+6*7</f>
        <v>46188</v>
      </c>
      <c r="Q3" s="18"/>
      <c r="R3" s="17">
        <f>$C$1+7*7</f>
        <v>46195</v>
      </c>
      <c r="S3" s="18"/>
    </row>
    <row r="4" spans="1:19" ht="18" customHeight="1" x14ac:dyDescent="0.4">
      <c r="A4" s="18"/>
      <c r="B4" s="18"/>
      <c r="C4" s="18"/>
      <c r="D4" s="8" t="s">
        <v>3</v>
      </c>
      <c r="E4" s="8" t="s">
        <v>4</v>
      </c>
      <c r="F4" s="8" t="s">
        <v>3</v>
      </c>
      <c r="G4" s="8" t="s">
        <v>4</v>
      </c>
      <c r="H4" s="8" t="s">
        <v>3</v>
      </c>
      <c r="I4" s="8" t="s">
        <v>4</v>
      </c>
      <c r="J4" s="8" t="s">
        <v>3</v>
      </c>
      <c r="K4" s="8" t="s">
        <v>4</v>
      </c>
      <c r="L4" s="8" t="s">
        <v>3</v>
      </c>
      <c r="M4" s="8" t="s">
        <v>4</v>
      </c>
      <c r="N4" s="8" t="s">
        <v>3</v>
      </c>
      <c r="O4" s="8" t="s">
        <v>4</v>
      </c>
      <c r="P4" s="8" t="s">
        <v>3</v>
      </c>
      <c r="Q4" s="8" t="s">
        <v>4</v>
      </c>
      <c r="R4" s="8" t="s">
        <v>3</v>
      </c>
      <c r="S4" s="8" t="s">
        <v>4</v>
      </c>
    </row>
    <row r="5" spans="1:19" ht="18" customHeight="1" x14ac:dyDescent="0.4">
      <c r="A5" s="19" t="s">
        <v>5</v>
      </c>
      <c r="B5" s="10" t="s">
        <v>6</v>
      </c>
      <c r="C5" s="11" t="s">
        <v>7</v>
      </c>
      <c r="D5" s="1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" customHeight="1" x14ac:dyDescent="0.4">
      <c r="A6" s="18"/>
      <c r="B6" s="10" t="s">
        <v>8</v>
      </c>
      <c r="C6" s="11" t="s">
        <v>9</v>
      </c>
      <c r="D6" s="7"/>
      <c r="E6" s="1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" customHeight="1" x14ac:dyDescent="0.4">
      <c r="A7" s="18"/>
      <c r="B7" s="10" t="s">
        <v>10</v>
      </c>
      <c r="C7" s="11" t="s">
        <v>11</v>
      </c>
      <c r="D7" s="7"/>
      <c r="E7" s="7"/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" customHeight="1" x14ac:dyDescent="0.4">
      <c r="A8" s="18"/>
      <c r="B8" s="10" t="s">
        <v>12</v>
      </c>
      <c r="C8" s="11" t="s">
        <v>13</v>
      </c>
      <c r="D8" s="7"/>
      <c r="E8" s="7"/>
      <c r="F8" s="1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" customHeight="1" x14ac:dyDescent="0.4">
      <c r="A9" s="18"/>
      <c r="B9" s="10" t="s">
        <v>14</v>
      </c>
      <c r="C9" s="11" t="s">
        <v>15</v>
      </c>
      <c r="D9" s="7"/>
      <c r="E9" s="7"/>
      <c r="F9" s="7"/>
      <c r="G9" s="1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" customHeight="1" x14ac:dyDescent="0.4">
      <c r="A10" s="19" t="s">
        <v>16</v>
      </c>
      <c r="B10" s="10" t="s">
        <v>17</v>
      </c>
      <c r="C10" s="11" t="s">
        <v>18</v>
      </c>
      <c r="D10" s="7"/>
      <c r="E10" s="7"/>
      <c r="F10" s="7"/>
      <c r="G10" s="7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" customHeight="1" x14ac:dyDescent="0.4">
      <c r="A11" s="18"/>
      <c r="B11" s="10" t="s">
        <v>19</v>
      </c>
      <c r="C11" s="11" t="s">
        <v>20</v>
      </c>
      <c r="D11" s="7"/>
      <c r="E11" s="7"/>
      <c r="F11" s="7"/>
      <c r="G11" s="7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" customHeight="1" x14ac:dyDescent="0.4">
      <c r="A12" s="18"/>
      <c r="B12" s="10" t="s">
        <v>21</v>
      </c>
      <c r="C12" s="11" t="s">
        <v>22</v>
      </c>
      <c r="D12" s="7"/>
      <c r="E12" s="7"/>
      <c r="F12" s="7"/>
      <c r="G12" s="7"/>
      <c r="H12" s="7"/>
      <c r="I12" s="12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" customHeight="1" x14ac:dyDescent="0.4">
      <c r="A13" s="9" t="s">
        <v>23</v>
      </c>
      <c r="B13" s="10" t="s">
        <v>24</v>
      </c>
      <c r="C13" s="11" t="s">
        <v>25</v>
      </c>
      <c r="D13" s="7"/>
      <c r="E13" s="7"/>
      <c r="F13" s="7"/>
      <c r="G13" s="7"/>
      <c r="H13" s="7"/>
      <c r="I13" s="12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" customHeight="1" x14ac:dyDescent="0.4">
      <c r="A14" s="19" t="s">
        <v>26</v>
      </c>
      <c r="B14" s="10" t="s">
        <v>27</v>
      </c>
      <c r="C14" s="11" t="s">
        <v>28</v>
      </c>
      <c r="D14" s="7"/>
      <c r="E14" s="7"/>
      <c r="F14" s="7"/>
      <c r="G14" s="7"/>
      <c r="H14" s="7"/>
      <c r="I14" s="7"/>
      <c r="J14" s="12"/>
      <c r="K14" s="7"/>
      <c r="L14" s="7"/>
      <c r="M14" s="7"/>
      <c r="N14" s="7"/>
      <c r="O14" s="7"/>
      <c r="P14" s="7"/>
      <c r="Q14" s="7"/>
      <c r="R14" s="7"/>
      <c r="S14" s="7"/>
    </row>
    <row r="15" spans="1:19" ht="18" customHeight="1" x14ac:dyDescent="0.4">
      <c r="A15" s="18"/>
      <c r="B15" s="10" t="s">
        <v>29</v>
      </c>
      <c r="C15" s="11" t="s">
        <v>68</v>
      </c>
      <c r="D15" s="7"/>
      <c r="E15" s="7"/>
      <c r="F15" s="7"/>
      <c r="G15" s="7"/>
      <c r="H15" s="7"/>
      <c r="I15" s="7"/>
      <c r="J15" s="12"/>
      <c r="K15" s="7"/>
      <c r="L15" s="7"/>
      <c r="M15" s="7"/>
      <c r="N15" s="7"/>
      <c r="O15" s="7"/>
      <c r="P15" s="7"/>
      <c r="Q15" s="7"/>
      <c r="R15" s="7"/>
      <c r="S15" s="7"/>
    </row>
    <row r="16" spans="1:19" ht="18" customHeight="1" x14ac:dyDescent="0.4">
      <c r="A16" s="18"/>
      <c r="B16" s="10" t="s">
        <v>30</v>
      </c>
      <c r="C16" s="11" t="s">
        <v>69</v>
      </c>
      <c r="D16" s="7"/>
      <c r="E16" s="7"/>
      <c r="F16" s="7"/>
      <c r="G16" s="7"/>
      <c r="H16" s="7"/>
      <c r="I16" s="7"/>
      <c r="J16" s="7"/>
      <c r="K16" s="12"/>
      <c r="L16" s="7"/>
      <c r="M16" s="7"/>
      <c r="N16" s="7"/>
      <c r="O16" s="7"/>
      <c r="P16" s="7"/>
      <c r="Q16" s="7"/>
      <c r="R16" s="7"/>
      <c r="S16" s="7"/>
    </row>
    <row r="17" spans="1:19" ht="18" customHeight="1" x14ac:dyDescent="0.4">
      <c r="A17" s="18"/>
      <c r="B17" s="10" t="s">
        <v>31</v>
      </c>
      <c r="C17" s="11" t="s">
        <v>70</v>
      </c>
      <c r="D17" s="7"/>
      <c r="E17" s="7"/>
      <c r="F17" s="7"/>
      <c r="G17" s="7"/>
      <c r="H17" s="7"/>
      <c r="I17" s="7"/>
      <c r="J17" s="7"/>
      <c r="K17" s="7"/>
      <c r="L17" s="12"/>
      <c r="M17" s="3"/>
      <c r="N17" s="7"/>
      <c r="O17" s="7"/>
      <c r="P17" s="7"/>
      <c r="Q17" s="7"/>
      <c r="R17" s="7"/>
      <c r="S17" s="7"/>
    </row>
    <row r="18" spans="1:19" ht="18" customHeight="1" x14ac:dyDescent="0.4">
      <c r="A18" s="18"/>
      <c r="B18" s="10" t="s">
        <v>32</v>
      </c>
      <c r="C18" s="11" t="s">
        <v>71</v>
      </c>
      <c r="D18" s="7"/>
      <c r="E18" s="7"/>
      <c r="F18" s="7"/>
      <c r="G18" s="7"/>
      <c r="H18" s="7"/>
      <c r="I18" s="7"/>
      <c r="J18" s="7"/>
      <c r="K18" s="7"/>
      <c r="L18" s="7"/>
      <c r="M18" s="12"/>
      <c r="N18" s="7"/>
      <c r="O18" s="7"/>
      <c r="P18" s="7"/>
      <c r="Q18" s="7"/>
      <c r="R18" s="7"/>
      <c r="S18" s="7"/>
    </row>
    <row r="19" spans="1:19" ht="18" customHeight="1" x14ac:dyDescent="0.4">
      <c r="A19" s="18"/>
      <c r="B19" s="10" t="s">
        <v>33</v>
      </c>
      <c r="C19" s="11" t="s">
        <v>72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13"/>
      <c r="O19" s="7"/>
      <c r="P19" s="7"/>
      <c r="Q19" s="7"/>
      <c r="R19" s="7"/>
      <c r="S19" s="7"/>
    </row>
    <row r="20" spans="1:19" ht="18" customHeight="1" x14ac:dyDescent="0.4">
      <c r="A20" s="18"/>
      <c r="B20" s="10" t="s">
        <v>34</v>
      </c>
      <c r="C20" s="11" t="s">
        <v>73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3"/>
      <c r="P20" s="7"/>
      <c r="Q20" s="7"/>
      <c r="R20" s="7"/>
      <c r="S20" s="7"/>
    </row>
    <row r="21" spans="1:19" ht="18" customHeight="1" x14ac:dyDescent="0.4">
      <c r="A21" s="19" t="s">
        <v>35</v>
      </c>
      <c r="B21" s="10" t="s">
        <v>36</v>
      </c>
      <c r="C21" s="11" t="s">
        <v>37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3"/>
      <c r="Q21" s="7"/>
      <c r="R21" s="7"/>
      <c r="S21" s="7"/>
    </row>
    <row r="22" spans="1:19" ht="18" customHeight="1" x14ac:dyDescent="0.4">
      <c r="A22" s="18"/>
      <c r="B22" s="10" t="s">
        <v>38</v>
      </c>
      <c r="C22" s="11" t="s">
        <v>39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3"/>
      <c r="Q22" s="7"/>
      <c r="R22" s="7"/>
      <c r="S22" s="7"/>
    </row>
    <row r="23" spans="1:19" ht="18" customHeight="1" x14ac:dyDescent="0.4">
      <c r="A23" s="19" t="s">
        <v>40</v>
      </c>
      <c r="B23" s="10" t="s">
        <v>41</v>
      </c>
      <c r="C23" s="11" t="s">
        <v>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3"/>
      <c r="R23" s="7"/>
      <c r="S23" s="7"/>
    </row>
    <row r="24" spans="1:19" ht="18" customHeight="1" x14ac:dyDescent="0.4">
      <c r="A24" s="18"/>
      <c r="B24" s="10" t="s">
        <v>43</v>
      </c>
      <c r="C24" s="11" t="s">
        <v>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3"/>
      <c r="R24" s="7"/>
      <c r="S24" s="7"/>
    </row>
    <row r="25" spans="1:19" ht="18" customHeight="1" x14ac:dyDescent="0.4">
      <c r="A25" s="18"/>
      <c r="B25" s="10" t="s">
        <v>45</v>
      </c>
      <c r="C25" s="11" t="s">
        <v>46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7"/>
      <c r="S25" s="7"/>
    </row>
    <row r="26" spans="1:19" ht="18" customHeight="1" x14ac:dyDescent="0.4">
      <c r="A26" s="18"/>
      <c r="B26" s="10" t="s">
        <v>47</v>
      </c>
      <c r="C26" s="11" t="s">
        <v>48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3"/>
      <c r="S26" s="7"/>
    </row>
    <row r="27" spans="1:19" ht="18" customHeight="1" x14ac:dyDescent="0.4">
      <c r="A27" s="18"/>
      <c r="B27" s="10" t="s">
        <v>49</v>
      </c>
      <c r="C27" s="11" t="s">
        <v>50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3"/>
      <c r="S27" s="7"/>
    </row>
    <row r="28" spans="1:19" ht="18" customHeight="1" x14ac:dyDescent="0.4">
      <c r="A28" s="18"/>
      <c r="B28" s="10" t="s">
        <v>51</v>
      </c>
      <c r="C28" s="11" t="s">
        <v>52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13"/>
      <c r="S28" s="7"/>
    </row>
    <row r="29" spans="1:19" ht="18" customHeight="1" x14ac:dyDescent="0.4">
      <c r="A29" s="19" t="s">
        <v>53</v>
      </c>
      <c r="B29" s="10" t="s">
        <v>54</v>
      </c>
      <c r="C29" s="11" t="s">
        <v>55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3"/>
      <c r="O29" s="13"/>
      <c r="P29" s="13"/>
      <c r="Q29" s="13"/>
      <c r="R29" s="13"/>
      <c r="S29" s="13"/>
    </row>
    <row r="30" spans="1:19" ht="18" customHeight="1" x14ac:dyDescent="0.4">
      <c r="A30" s="18"/>
      <c r="B30" s="10" t="s">
        <v>56</v>
      </c>
      <c r="C30" s="11" t="s">
        <v>57</v>
      </c>
      <c r="D30" s="7"/>
      <c r="E30" s="12"/>
      <c r="F30" s="7"/>
      <c r="G30" s="12"/>
      <c r="H30" s="7"/>
      <c r="I30" s="12"/>
      <c r="J30" s="7"/>
      <c r="K30" s="12"/>
      <c r="L30" s="7"/>
      <c r="M30" s="12"/>
      <c r="N30" s="7"/>
      <c r="O30" s="13"/>
      <c r="P30" s="7"/>
      <c r="Q30" s="13"/>
      <c r="R30" s="7"/>
      <c r="S30" s="13"/>
    </row>
    <row r="31" spans="1:19" ht="18" customHeight="1" x14ac:dyDescent="0.4">
      <c r="A31" s="19" t="s">
        <v>58</v>
      </c>
      <c r="B31" s="10" t="s">
        <v>59</v>
      </c>
      <c r="C31" s="11" t="s">
        <v>60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4"/>
    </row>
    <row r="32" spans="1:19" ht="18" customHeight="1" x14ac:dyDescent="0.4">
      <c r="A32" s="18"/>
      <c r="B32" s="10" t="s">
        <v>61</v>
      </c>
      <c r="C32" s="11" t="s">
        <v>62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3"/>
    </row>
    <row r="34" spans="2:3" x14ac:dyDescent="0.4">
      <c r="B34" s="1" t="s">
        <v>63</v>
      </c>
    </row>
    <row r="35" spans="2:3" x14ac:dyDescent="0.4">
      <c r="B35" s="4"/>
      <c r="C35" s="6" t="s">
        <v>64</v>
      </c>
    </row>
    <row r="36" spans="2:3" x14ac:dyDescent="0.4">
      <c r="B36" s="3"/>
      <c r="C36" s="6" t="s">
        <v>65</v>
      </c>
    </row>
    <row r="37" spans="2:3" x14ac:dyDescent="0.4">
      <c r="B37" s="5"/>
      <c r="C37" s="6" t="s">
        <v>66</v>
      </c>
    </row>
  </sheetData>
  <mergeCells count="19">
    <mergeCell ref="A29:A30"/>
    <mergeCell ref="A31:A32"/>
    <mergeCell ref="R3:S3"/>
    <mergeCell ref="D3:E3"/>
    <mergeCell ref="A23:A28"/>
    <mergeCell ref="H3:I3"/>
    <mergeCell ref="J3:K3"/>
    <mergeCell ref="P3:Q3"/>
    <mergeCell ref="C3:C4"/>
    <mergeCell ref="N3:O3"/>
    <mergeCell ref="A3:A4"/>
    <mergeCell ref="A10:A12"/>
    <mergeCell ref="A5:A9"/>
    <mergeCell ref="B3:B4"/>
    <mergeCell ref="A1:B1"/>
    <mergeCell ref="F3:G3"/>
    <mergeCell ref="L3:M3"/>
    <mergeCell ref="A14:A20"/>
    <mergeCell ref="A21:A22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Zeitplan</vt:lpstr>
      <vt:lpstr>Zeitplan!Print_Titles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Philipp Straub</cp:lastModifiedBy>
  <dcterms:created xsi:type="dcterms:W3CDTF">2026-05-11T13:55:05Z</dcterms:created>
  <dcterms:modified xsi:type="dcterms:W3CDTF">2026-06-08T11:16:26Z</dcterms:modified>
</cp:coreProperties>
</file>