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ex\source\repos\M306-Projektarbeit\organisation\"/>
    </mc:Choice>
  </mc:AlternateContent>
  <xr:revisionPtr revIDLastSave="102" documentId="11_C6EC1903567E20FEE040B4D5475DCE3A874C1E52" xr6:coauthVersionLast="47" xr6:coauthVersionMax="47" xr10:uidLastSave="{7FB12D9A-9F0D-4B3C-B05D-957675E3B955}"/>
  <bookViews>
    <workbookView xWindow="-103" yWindow="-103" windowWidth="27634" windowHeight="14914" xr2:uid="{00000000-000D-0000-FFFF-FFFF00000000}"/>
  </bookViews>
  <sheets>
    <sheet name="Zei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P3" i="1"/>
  <c r="N3" i="1"/>
  <c r="L3" i="1"/>
  <c r="J3" i="1"/>
  <c r="H3" i="1"/>
  <c r="F3" i="1"/>
  <c r="D3" i="1"/>
</calcChain>
</file>

<file path=xl/sharedStrings.xml><?xml version="1.0" encoding="utf-8"?>
<sst xmlns="http://schemas.openxmlformats.org/spreadsheetml/2006/main" count="90" uniqueCount="76">
  <si>
    <t>Startdatum:</t>
  </si>
  <si>
    <t>Phase</t>
  </si>
  <si>
    <t>Nr.</t>
  </si>
  <si>
    <t>Tätigkeit</t>
  </si>
  <si>
    <t>12:30</t>
  </si>
  <si>
    <t>15:00</t>
  </si>
  <si>
    <t>Informieren</t>
  </si>
  <si>
    <t>1.0</t>
  </si>
  <si>
    <t>Idee</t>
  </si>
  <si>
    <t>1.1</t>
  </si>
  <si>
    <t>Projektantrag</t>
  </si>
  <si>
    <t>1.2</t>
  </si>
  <si>
    <t>Anforderungsanalyse</t>
  </si>
  <si>
    <t>1.3</t>
  </si>
  <si>
    <t>Zeitplan</t>
  </si>
  <si>
    <t>1.4</t>
  </si>
  <si>
    <t>Recherche</t>
  </si>
  <si>
    <t>Planen</t>
  </si>
  <si>
    <t>2.0</t>
  </si>
  <si>
    <t>Tätigkeitsliste</t>
  </si>
  <si>
    <t>2.1</t>
  </si>
  <si>
    <t>Testspezifikationen</t>
  </si>
  <si>
    <t>2.2</t>
  </si>
  <si>
    <t>Pflichtenheft</t>
  </si>
  <si>
    <t>Entscheiden</t>
  </si>
  <si>
    <t>3.0</t>
  </si>
  <si>
    <t>Entscheidung</t>
  </si>
  <si>
    <t>Realisieren</t>
  </si>
  <si>
    <t>4.0</t>
  </si>
  <si>
    <t>Realisierungsschritte beschreiben</t>
  </si>
  <si>
    <t>4.1</t>
  </si>
  <si>
    <t>Aufsetzen Repository/Libraries</t>
  </si>
  <si>
    <t>4.2</t>
  </si>
  <si>
    <t>Arbeit Globus</t>
  </si>
  <si>
    <t>4.3</t>
  </si>
  <si>
    <t>Projektionen auf Globus</t>
  </si>
  <si>
    <t>4.4</t>
  </si>
  <si>
    <t>API Fetching/Filtering</t>
  </si>
  <si>
    <t>4.5</t>
  </si>
  <si>
    <t>API verarbeitbar für globus</t>
  </si>
  <si>
    <t>4.6</t>
  </si>
  <si>
    <t>Integration satelliten + globus</t>
  </si>
  <si>
    <t>Kontrollieren</t>
  </si>
  <si>
    <t>5.0</t>
  </si>
  <si>
    <t>Testprotokoll</t>
  </si>
  <si>
    <t>5.1</t>
  </si>
  <si>
    <t>Testfazit</t>
  </si>
  <si>
    <t>Auswerten</t>
  </si>
  <si>
    <t>6.0</t>
  </si>
  <si>
    <t>Gute Erfahrungen</t>
  </si>
  <si>
    <t>6.1</t>
  </si>
  <si>
    <t>Schlechte Erfahrungen</t>
  </si>
  <si>
    <t>6.2</t>
  </si>
  <si>
    <t>Verbesserungsmöglichkeiten</t>
  </si>
  <si>
    <t>6.3</t>
  </si>
  <si>
    <t>Das hat uns gefallen</t>
  </si>
  <si>
    <t>6.4</t>
  </si>
  <si>
    <t>Das hat uns nicht gefallen</t>
  </si>
  <si>
    <t>6.5</t>
  </si>
  <si>
    <t>Das wollen wir nächstes Mal anders machen</t>
  </si>
  <si>
    <t>Dokumentation</t>
  </si>
  <si>
    <t>7.0</t>
  </si>
  <si>
    <t>Dokumentation des Projektes</t>
  </si>
  <si>
    <t>7.1</t>
  </si>
  <si>
    <t>Arbeitsjournal</t>
  </si>
  <si>
    <t>Diverses</t>
  </si>
  <si>
    <t>8.1</t>
  </si>
  <si>
    <t>Schlussarbeiten</t>
  </si>
  <si>
    <t>8.2</t>
  </si>
  <si>
    <t>Reserve</t>
  </si>
  <si>
    <t>Legende:</t>
  </si>
  <si>
    <t>Soll-Zustand</t>
  </si>
  <si>
    <t>Soll Zustand</t>
  </si>
  <si>
    <t>Ist-Zustand</t>
  </si>
  <si>
    <t>Ist Zustand</t>
  </si>
  <si>
    <t>Meilenstein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</si>
</sst>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name val="Calibri"/>
    </font>
    <font>
      <b/>
      <sz val="9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C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4" borderId="2" xfId="0" applyFill="1" applyBorder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0" fontId="0" fillId="6" borderId="2" xfId="0" applyFill="1" applyBorder="1"/>
    <xf numFmtId="0" fontId="4" fillId="0" borderId="0" xfId="0" applyFont="1" applyAlignment="1">
      <alignment horizontal="left" vertical="center" indent="1"/>
    </xf>
    <xf numFmtId="0" fontId="0" fillId="6" borderId="1" xfId="0" applyFill="1" applyBorder="1"/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164" fontId="1" fillId="3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2" fillId="3" borderId="2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5"/>
  <sheetViews>
    <sheetView tabSelected="1" topLeftCell="A9" zoomScale="55" zoomScaleNormal="55" workbookViewId="0">
      <selection activeCell="AA33" sqref="AA33"/>
    </sheetView>
  </sheetViews>
  <sheetFormatPr defaultRowHeight="14.6" x14ac:dyDescent="0.4"/>
  <cols>
    <col min="1" max="1" width="14" customWidth="1"/>
    <col min="2" max="2" width="6" customWidth="1"/>
    <col min="3" max="3" width="38" customWidth="1"/>
    <col min="4" max="4" width="7" customWidth="1"/>
  </cols>
  <sheetData>
    <row r="1" spans="1:19" ht="22" customHeight="1" x14ac:dyDescent="0.4">
      <c r="A1" s="22" t="s">
        <v>0</v>
      </c>
      <c r="B1" s="23"/>
      <c r="C1" s="2">
        <v>46146</v>
      </c>
    </row>
    <row r="2" spans="1:19" ht="8.15" customHeight="1" x14ac:dyDescent="0.4"/>
    <row r="3" spans="1:19" ht="22" customHeight="1" x14ac:dyDescent="0.4">
      <c r="A3" s="19" t="s">
        <v>1</v>
      </c>
      <c r="B3" s="19" t="s">
        <v>2</v>
      </c>
      <c r="C3" s="19" t="s">
        <v>3</v>
      </c>
      <c r="D3" s="17">
        <f>$C$1+0*7</f>
        <v>46146</v>
      </c>
      <c r="E3" s="18"/>
      <c r="F3" s="17">
        <f>$C$1+1*7</f>
        <v>46153</v>
      </c>
      <c r="G3" s="18"/>
      <c r="H3" s="17">
        <f>$C$1+2*7</f>
        <v>46160</v>
      </c>
      <c r="I3" s="18"/>
      <c r="J3" s="17">
        <f>$C$1+3*7</f>
        <v>46167</v>
      </c>
      <c r="K3" s="18"/>
      <c r="L3" s="17">
        <f>$C$1+4*7</f>
        <v>46174</v>
      </c>
      <c r="M3" s="18"/>
      <c r="N3" s="17">
        <f>$C$1+5*7</f>
        <v>46181</v>
      </c>
      <c r="O3" s="18"/>
      <c r="P3" s="17">
        <f>$C$1+6*7</f>
        <v>46188</v>
      </c>
      <c r="Q3" s="18"/>
      <c r="R3" s="17">
        <f>$C$1+7*7</f>
        <v>46195</v>
      </c>
      <c r="S3" s="18"/>
    </row>
    <row r="4" spans="1:19" ht="18" customHeight="1" x14ac:dyDescent="0.4">
      <c r="A4" s="16"/>
      <c r="B4" s="16"/>
      <c r="C4" s="16"/>
      <c r="D4" s="3" t="s">
        <v>4</v>
      </c>
      <c r="E4" s="3" t="s">
        <v>5</v>
      </c>
      <c r="F4" s="3" t="s">
        <v>4</v>
      </c>
      <c r="G4" s="3" t="s">
        <v>5</v>
      </c>
      <c r="H4" s="3" t="s">
        <v>4</v>
      </c>
      <c r="I4" s="3" t="s">
        <v>5</v>
      </c>
      <c r="J4" s="3" t="s">
        <v>4</v>
      </c>
      <c r="K4" s="3" t="s">
        <v>5</v>
      </c>
      <c r="L4" s="3" t="s">
        <v>4</v>
      </c>
      <c r="M4" s="3" t="s">
        <v>5</v>
      </c>
      <c r="N4" s="3" t="s">
        <v>4</v>
      </c>
      <c r="O4" s="3" t="s">
        <v>5</v>
      </c>
      <c r="P4" s="3" t="s">
        <v>4</v>
      </c>
      <c r="Q4" s="3" t="s">
        <v>5</v>
      </c>
      <c r="R4" s="3" t="s">
        <v>4</v>
      </c>
      <c r="S4" s="3" t="s">
        <v>5</v>
      </c>
    </row>
    <row r="5" spans="1:19" ht="18" customHeight="1" x14ac:dyDescent="0.4">
      <c r="A5" s="14" t="s">
        <v>6</v>
      </c>
      <c r="B5" s="4" t="s">
        <v>7</v>
      </c>
      <c r="C5" s="20" t="s">
        <v>8</v>
      </c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8" customHeight="1" x14ac:dyDescent="0.4">
      <c r="A6" s="15"/>
      <c r="B6" s="4"/>
      <c r="C6" s="21"/>
      <c r="D6" s="8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</row>
    <row r="7" spans="1:19" ht="18" customHeight="1" x14ac:dyDescent="0.4">
      <c r="A7" s="15"/>
      <c r="B7" s="4" t="s">
        <v>9</v>
      </c>
      <c r="C7" s="12" t="s">
        <v>10</v>
      </c>
      <c r="D7" s="6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8" customHeight="1" x14ac:dyDescent="0.4">
      <c r="A8" s="15"/>
      <c r="B8" s="4"/>
      <c r="C8" s="13"/>
      <c r="D8" s="6"/>
      <c r="E8" s="8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</row>
    <row r="9" spans="1:19" ht="18" customHeight="1" x14ac:dyDescent="0.4">
      <c r="A9" s="15"/>
      <c r="B9" s="4" t="s">
        <v>11</v>
      </c>
      <c r="C9" s="12" t="s">
        <v>12</v>
      </c>
      <c r="D9" s="6"/>
      <c r="E9" s="6"/>
      <c r="F9" s="5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</row>
    <row r="10" spans="1:19" ht="18" customHeight="1" x14ac:dyDescent="0.4">
      <c r="A10" s="15"/>
      <c r="B10" s="4"/>
      <c r="C10" s="13"/>
      <c r="D10" s="6"/>
      <c r="E10" s="6"/>
      <c r="F10" s="8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</row>
    <row r="11" spans="1:19" ht="18" customHeight="1" x14ac:dyDescent="0.4">
      <c r="A11" s="15"/>
      <c r="B11" s="4" t="s">
        <v>13</v>
      </c>
      <c r="C11" s="12" t="s">
        <v>14</v>
      </c>
      <c r="D11" s="6"/>
      <c r="E11" s="6"/>
      <c r="F11" s="5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8" customHeight="1" x14ac:dyDescent="0.4">
      <c r="A12" s="15"/>
      <c r="B12" s="4"/>
      <c r="C12" s="13"/>
      <c r="D12" s="6"/>
      <c r="E12" s="6"/>
      <c r="F12" s="8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ht="18" customHeight="1" x14ac:dyDescent="0.4">
      <c r="A13" s="15"/>
      <c r="B13" s="4" t="s">
        <v>15</v>
      </c>
      <c r="C13" s="12" t="s">
        <v>16</v>
      </c>
      <c r="D13" s="6"/>
      <c r="E13" s="6"/>
      <c r="F13" s="6"/>
      <c r="G13" s="5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8" customHeight="1" x14ac:dyDescent="0.4">
      <c r="A14" s="16"/>
      <c r="B14" s="4"/>
      <c r="C14" s="13"/>
      <c r="D14" s="6"/>
      <c r="E14" s="6"/>
      <c r="F14" s="6"/>
      <c r="G14" s="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</row>
    <row r="15" spans="1:19" ht="18" customHeight="1" x14ac:dyDescent="0.4">
      <c r="A15" s="14" t="s">
        <v>17</v>
      </c>
      <c r="B15" s="4" t="s">
        <v>18</v>
      </c>
      <c r="C15" s="12" t="s">
        <v>19</v>
      </c>
      <c r="D15" s="6"/>
      <c r="E15" s="6"/>
      <c r="F15" s="6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spans="1:19" ht="18" customHeight="1" x14ac:dyDescent="0.4">
      <c r="A16" s="15"/>
      <c r="B16" s="4"/>
      <c r="C16" s="13"/>
      <c r="D16" s="6"/>
      <c r="E16" s="6"/>
      <c r="F16" s="6"/>
      <c r="G16" s="6"/>
      <c r="H16" s="8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19" ht="18" customHeight="1" x14ac:dyDescent="0.4">
      <c r="A17" s="15"/>
      <c r="B17" s="4" t="s">
        <v>20</v>
      </c>
      <c r="C17" s="12" t="s">
        <v>21</v>
      </c>
      <c r="D17" s="6"/>
      <c r="E17" s="6"/>
      <c r="F17" s="6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spans="1:19" ht="18" customHeight="1" x14ac:dyDescent="0.4">
      <c r="A18" s="15"/>
      <c r="B18" s="4"/>
      <c r="C18" s="13"/>
      <c r="D18" s="6"/>
      <c r="E18" s="6"/>
      <c r="F18" s="6"/>
      <c r="G18" s="6"/>
      <c r="H18" s="8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 spans="1:19" ht="18" customHeight="1" x14ac:dyDescent="0.4">
      <c r="A19" s="15"/>
      <c r="B19" s="4" t="s">
        <v>22</v>
      </c>
      <c r="C19" s="12" t="s">
        <v>23</v>
      </c>
      <c r="D19" s="6"/>
      <c r="E19" s="6"/>
      <c r="F19" s="6"/>
      <c r="G19" s="6"/>
      <c r="H19" s="6"/>
      <c r="I19" s="5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ht="18" customHeight="1" x14ac:dyDescent="0.4">
      <c r="A20" s="16"/>
      <c r="B20" s="4"/>
      <c r="C20" s="13"/>
      <c r="D20" s="6"/>
      <c r="E20" s="6"/>
      <c r="F20" s="6"/>
      <c r="G20" s="6"/>
      <c r="H20" s="6"/>
      <c r="I20" s="8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ht="18" customHeight="1" x14ac:dyDescent="0.4">
      <c r="A21" s="14" t="s">
        <v>24</v>
      </c>
      <c r="B21" s="4" t="s">
        <v>25</v>
      </c>
      <c r="C21" s="12" t="s">
        <v>26</v>
      </c>
      <c r="D21" s="6"/>
      <c r="E21" s="6"/>
      <c r="F21" s="6"/>
      <c r="G21" s="6"/>
      <c r="H21" s="6"/>
      <c r="I21" s="5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8" customHeight="1" x14ac:dyDescent="0.4">
      <c r="A22" s="16"/>
      <c r="B22" s="4"/>
      <c r="C22" s="13"/>
      <c r="D22" s="6"/>
      <c r="E22" s="6"/>
      <c r="F22" s="6"/>
      <c r="G22" s="6"/>
      <c r="H22" s="6"/>
      <c r="I22" s="8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ht="18" customHeight="1" x14ac:dyDescent="0.4">
      <c r="A23" s="14" t="s">
        <v>27</v>
      </c>
      <c r="B23" s="4" t="s">
        <v>28</v>
      </c>
      <c r="C23" s="12" t="s">
        <v>29</v>
      </c>
      <c r="D23" s="6"/>
      <c r="E23" s="6"/>
      <c r="F23" s="6"/>
      <c r="G23" s="6"/>
      <c r="H23" s="6"/>
      <c r="I23" s="6"/>
      <c r="J23" s="5"/>
      <c r="K23" s="6"/>
      <c r="L23" s="6"/>
      <c r="M23" s="6"/>
      <c r="N23" s="6"/>
      <c r="O23" s="6"/>
      <c r="P23" s="6"/>
      <c r="Q23" s="6"/>
      <c r="R23" s="6"/>
      <c r="S23" s="6"/>
    </row>
    <row r="24" spans="1:19" ht="18" customHeight="1" x14ac:dyDescent="0.4">
      <c r="A24" s="15"/>
      <c r="B24" s="4"/>
      <c r="C24" s="13"/>
      <c r="D24" s="6"/>
      <c r="E24" s="6"/>
      <c r="F24" s="6"/>
      <c r="G24" s="6"/>
      <c r="H24" s="6"/>
      <c r="I24" s="6"/>
      <c r="J24" s="8"/>
      <c r="K24" s="6"/>
      <c r="L24" s="6"/>
      <c r="M24" s="6"/>
      <c r="N24" s="6"/>
      <c r="O24" s="6"/>
      <c r="P24" s="6"/>
      <c r="Q24" s="6"/>
      <c r="R24" s="6"/>
      <c r="S24" s="6"/>
    </row>
    <row r="25" spans="1:19" ht="18" customHeight="1" x14ac:dyDescent="0.4">
      <c r="A25" s="15"/>
      <c r="B25" s="4" t="s">
        <v>30</v>
      </c>
      <c r="C25" s="12" t="s">
        <v>31</v>
      </c>
      <c r="D25" s="6"/>
      <c r="E25" s="6"/>
      <c r="F25" s="6"/>
      <c r="G25" s="6"/>
      <c r="H25" s="6"/>
      <c r="I25" s="6"/>
      <c r="J25" s="5"/>
      <c r="K25" s="6"/>
      <c r="L25" s="6"/>
      <c r="M25" s="6"/>
      <c r="N25" s="6"/>
      <c r="O25" s="6"/>
      <c r="P25" s="6"/>
      <c r="Q25" s="6"/>
      <c r="R25" s="6"/>
      <c r="S25" s="6"/>
    </row>
    <row r="26" spans="1:19" ht="18" customHeight="1" x14ac:dyDescent="0.4">
      <c r="A26" s="15"/>
      <c r="B26" s="4"/>
      <c r="C26" s="13"/>
      <c r="D26" s="6"/>
      <c r="E26" s="6"/>
      <c r="F26" s="6"/>
      <c r="G26" s="6"/>
      <c r="H26" s="6"/>
      <c r="I26" s="6"/>
      <c r="J26" s="8"/>
      <c r="K26" s="6"/>
      <c r="L26" s="6"/>
      <c r="M26" s="6"/>
      <c r="N26" s="6"/>
      <c r="O26" s="6"/>
      <c r="P26" s="6"/>
      <c r="Q26" s="6"/>
      <c r="R26" s="6"/>
      <c r="S26" s="6"/>
    </row>
    <row r="27" spans="1:19" ht="18" customHeight="1" x14ac:dyDescent="0.4">
      <c r="A27" s="15"/>
      <c r="B27" s="4" t="s">
        <v>32</v>
      </c>
      <c r="C27" s="12" t="s">
        <v>33</v>
      </c>
      <c r="D27" s="6"/>
      <c r="E27" s="6"/>
      <c r="F27" s="6"/>
      <c r="G27" s="6"/>
      <c r="H27" s="6"/>
      <c r="I27" s="6"/>
      <c r="J27" s="6"/>
      <c r="K27" s="5"/>
      <c r="L27" s="6"/>
      <c r="M27" s="6"/>
      <c r="N27" s="6"/>
      <c r="O27" s="6"/>
      <c r="P27" s="6"/>
      <c r="Q27" s="6"/>
      <c r="R27" s="6"/>
      <c r="S27" s="6"/>
    </row>
    <row r="28" spans="1:19" ht="18" customHeight="1" x14ac:dyDescent="0.4">
      <c r="A28" s="15"/>
      <c r="B28" s="4"/>
      <c r="C28" s="13"/>
      <c r="D28" s="6"/>
      <c r="E28" s="6"/>
      <c r="F28" s="6"/>
      <c r="G28" s="6"/>
      <c r="H28" s="6"/>
      <c r="I28" s="6"/>
      <c r="J28" s="6"/>
      <c r="K28" s="8"/>
      <c r="L28" s="8"/>
      <c r="M28" s="6"/>
      <c r="N28" s="6"/>
      <c r="O28" s="6"/>
      <c r="P28" s="6"/>
      <c r="Q28" s="6"/>
      <c r="R28" s="6"/>
      <c r="S28" s="6"/>
    </row>
    <row r="29" spans="1:19" ht="18" customHeight="1" x14ac:dyDescent="0.4">
      <c r="A29" s="15"/>
      <c r="B29" s="4" t="s">
        <v>34</v>
      </c>
      <c r="C29" s="12" t="s">
        <v>35</v>
      </c>
      <c r="D29" s="6"/>
      <c r="E29" s="6"/>
      <c r="F29" s="6"/>
      <c r="G29" s="6"/>
      <c r="H29" s="6"/>
      <c r="I29" s="6"/>
      <c r="J29" s="6"/>
      <c r="K29" s="6"/>
      <c r="L29" s="5"/>
      <c r="M29" s="7"/>
      <c r="N29" s="6"/>
      <c r="O29" s="6"/>
      <c r="P29" s="6"/>
      <c r="Q29" s="6"/>
      <c r="R29" s="6"/>
      <c r="S29" s="6"/>
    </row>
    <row r="30" spans="1:19" ht="18" customHeight="1" x14ac:dyDescent="0.4">
      <c r="A30" s="15"/>
      <c r="B30" s="4"/>
      <c r="C30" s="13"/>
      <c r="D30" s="6"/>
      <c r="E30" s="6"/>
      <c r="F30" s="6"/>
      <c r="G30" s="6"/>
      <c r="H30" s="6"/>
      <c r="I30" s="6"/>
      <c r="J30" s="6"/>
      <c r="K30" s="6"/>
      <c r="L30" s="8"/>
      <c r="M30" s="8"/>
      <c r="N30" s="6"/>
      <c r="O30" s="6"/>
      <c r="P30" s="6"/>
      <c r="Q30" s="6"/>
      <c r="R30" s="6"/>
      <c r="S30" s="6"/>
    </row>
    <row r="31" spans="1:19" ht="18" customHeight="1" x14ac:dyDescent="0.4">
      <c r="A31" s="15"/>
      <c r="B31" s="4" t="s">
        <v>36</v>
      </c>
      <c r="C31" s="12" t="s">
        <v>37</v>
      </c>
      <c r="D31" s="6"/>
      <c r="E31" s="6"/>
      <c r="F31" s="6"/>
      <c r="G31" s="6"/>
      <c r="H31" s="6"/>
      <c r="I31" s="6"/>
      <c r="J31" s="6"/>
      <c r="K31" s="6"/>
      <c r="L31" s="6"/>
      <c r="M31" s="5"/>
      <c r="N31" s="6"/>
      <c r="O31" s="6"/>
      <c r="P31" s="6"/>
      <c r="Q31" s="6"/>
      <c r="R31" s="6"/>
      <c r="S31" s="6"/>
    </row>
    <row r="32" spans="1:19" ht="18" customHeight="1" x14ac:dyDescent="0.4">
      <c r="A32" s="15"/>
      <c r="B32" s="4"/>
      <c r="C32" s="13"/>
      <c r="D32" s="6"/>
      <c r="E32" s="6"/>
      <c r="F32" s="6"/>
      <c r="G32" s="6"/>
      <c r="H32" s="6"/>
      <c r="I32" s="6"/>
      <c r="J32" s="6"/>
      <c r="K32" s="6"/>
      <c r="L32" s="8"/>
      <c r="M32" s="6"/>
      <c r="N32" s="6"/>
      <c r="O32" s="6"/>
      <c r="P32" s="6"/>
      <c r="Q32" s="6"/>
      <c r="R32" s="6"/>
      <c r="S32" s="6"/>
    </row>
    <row r="33" spans="1:19" ht="18" customHeight="1" x14ac:dyDescent="0.4">
      <c r="A33" s="15"/>
      <c r="B33" s="4" t="s">
        <v>38</v>
      </c>
      <c r="C33" s="12" t="s">
        <v>39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7"/>
      <c r="O33" s="6"/>
      <c r="P33" s="6"/>
      <c r="Q33" s="6"/>
      <c r="R33" s="6"/>
      <c r="S33" s="6"/>
    </row>
    <row r="34" spans="1:19" ht="18" customHeight="1" x14ac:dyDescent="0.4">
      <c r="A34" s="15"/>
      <c r="B34" s="4"/>
      <c r="C34" s="13"/>
      <c r="D34" s="6"/>
      <c r="E34" s="6"/>
      <c r="F34" s="6"/>
      <c r="G34" s="6"/>
      <c r="H34" s="6"/>
      <c r="I34" s="6"/>
      <c r="J34" s="6"/>
      <c r="K34" s="6"/>
      <c r="L34" s="6"/>
      <c r="M34" s="8"/>
      <c r="N34" s="8"/>
      <c r="O34" s="6"/>
      <c r="P34" s="6"/>
      <c r="Q34" s="6"/>
      <c r="R34" s="6"/>
      <c r="S34" s="6"/>
    </row>
    <row r="35" spans="1:19" ht="18" customHeight="1" x14ac:dyDescent="0.4">
      <c r="A35" s="15"/>
      <c r="B35" s="4" t="s">
        <v>40</v>
      </c>
      <c r="C35" s="12" t="s">
        <v>41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7"/>
      <c r="P35" s="6"/>
      <c r="Q35" s="6"/>
      <c r="R35" s="6"/>
      <c r="S35" s="6"/>
    </row>
    <row r="36" spans="1:19" ht="18" customHeight="1" x14ac:dyDescent="0.4">
      <c r="A36" s="16"/>
      <c r="B36" s="4"/>
      <c r="C36" s="13"/>
      <c r="D36" s="6"/>
      <c r="E36" s="6"/>
      <c r="F36" s="6"/>
      <c r="G36" s="6"/>
      <c r="H36" s="6"/>
      <c r="I36" s="6"/>
      <c r="J36" s="6"/>
      <c r="K36" s="6"/>
      <c r="L36" s="6"/>
      <c r="M36" s="6"/>
      <c r="N36" s="8"/>
      <c r="O36" s="8"/>
      <c r="P36" s="8"/>
      <c r="Q36" s="6"/>
      <c r="R36" s="6"/>
      <c r="S36" s="6"/>
    </row>
    <row r="37" spans="1:19" ht="18" customHeight="1" x14ac:dyDescent="0.4">
      <c r="A37" s="14" t="s">
        <v>42</v>
      </c>
      <c r="B37" s="4" t="s">
        <v>43</v>
      </c>
      <c r="C37" s="12" t="s">
        <v>44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5"/>
      <c r="Q37" s="6"/>
      <c r="R37" s="6"/>
      <c r="S37" s="6"/>
    </row>
    <row r="38" spans="1:19" ht="18" customHeight="1" x14ac:dyDescent="0.4">
      <c r="A38" s="15"/>
      <c r="B38" s="4"/>
      <c r="C38" s="1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8"/>
      <c r="Q38" s="8"/>
      <c r="R38" s="6"/>
      <c r="S38" s="6"/>
    </row>
    <row r="39" spans="1:19" ht="18" customHeight="1" x14ac:dyDescent="0.4">
      <c r="A39" s="15"/>
      <c r="B39" s="4" t="s">
        <v>45</v>
      </c>
      <c r="C39" s="12" t="s">
        <v>46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5"/>
      <c r="Q39" s="6"/>
      <c r="R39" s="6"/>
      <c r="S39" s="6"/>
    </row>
    <row r="40" spans="1:19" ht="18" customHeight="1" x14ac:dyDescent="0.4">
      <c r="A40" s="16"/>
      <c r="B40" s="4"/>
      <c r="C40" s="13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8"/>
      <c r="Q40" s="8"/>
      <c r="R40" s="6"/>
      <c r="S40" s="6"/>
    </row>
    <row r="41" spans="1:19" ht="18" customHeight="1" x14ac:dyDescent="0.4">
      <c r="A41" s="14" t="s">
        <v>47</v>
      </c>
      <c r="B41" s="4" t="s">
        <v>48</v>
      </c>
      <c r="C41" s="12" t="s">
        <v>49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5"/>
      <c r="R41" s="6"/>
      <c r="S41" s="6"/>
    </row>
    <row r="42" spans="1:19" ht="18" customHeight="1" x14ac:dyDescent="0.4">
      <c r="A42" s="15"/>
      <c r="B42" s="4"/>
      <c r="C42" s="13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8"/>
      <c r="Q42" s="6"/>
      <c r="R42" s="6"/>
      <c r="S42" s="6"/>
    </row>
    <row r="43" spans="1:19" ht="18" customHeight="1" x14ac:dyDescent="0.4">
      <c r="A43" s="15"/>
      <c r="B43" s="4" t="s">
        <v>50</v>
      </c>
      <c r="C43" s="12" t="s">
        <v>51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5"/>
      <c r="R43" s="6"/>
      <c r="S43" s="6"/>
    </row>
    <row r="44" spans="1:19" ht="18" customHeight="1" x14ac:dyDescent="0.4">
      <c r="A44" s="15"/>
      <c r="B44" s="4"/>
      <c r="C44" s="13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8"/>
      <c r="Q44" s="6"/>
      <c r="R44" s="6"/>
      <c r="S44" s="6"/>
    </row>
    <row r="45" spans="1:19" ht="18" customHeight="1" x14ac:dyDescent="0.4">
      <c r="A45" s="15"/>
      <c r="B45" s="4" t="s">
        <v>52</v>
      </c>
      <c r="C45" s="12" t="s">
        <v>53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5"/>
      <c r="R45" s="6"/>
      <c r="S45" s="6"/>
    </row>
    <row r="46" spans="1:19" ht="18" customHeight="1" x14ac:dyDescent="0.4">
      <c r="A46" s="15"/>
      <c r="B46" s="4"/>
      <c r="C46" s="13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8"/>
      <c r="Q46" s="6"/>
      <c r="R46" s="6"/>
      <c r="S46" s="6"/>
    </row>
    <row r="47" spans="1:19" ht="18" customHeight="1" x14ac:dyDescent="0.4">
      <c r="A47" s="15"/>
      <c r="B47" s="4" t="s">
        <v>54</v>
      </c>
      <c r="C47" s="12" t="s">
        <v>55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5"/>
      <c r="S47" s="6"/>
    </row>
    <row r="48" spans="1:19" ht="18" customHeight="1" x14ac:dyDescent="0.4">
      <c r="A48" s="15"/>
      <c r="B48" s="4"/>
      <c r="C48" s="13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8"/>
      <c r="Q48" s="6"/>
      <c r="R48" s="6"/>
      <c r="S48" s="6"/>
    </row>
    <row r="49" spans="1:19" ht="18" customHeight="1" x14ac:dyDescent="0.4">
      <c r="A49" s="15"/>
      <c r="B49" s="4" t="s">
        <v>56</v>
      </c>
      <c r="C49" s="12" t="s">
        <v>57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5"/>
      <c r="S49" s="6"/>
    </row>
    <row r="50" spans="1:19" ht="18" customHeight="1" x14ac:dyDescent="0.4">
      <c r="A50" s="15"/>
      <c r="B50" s="4"/>
      <c r="C50" s="13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8"/>
      <c r="Q50" s="6"/>
      <c r="R50" s="6"/>
      <c r="S50" s="6"/>
    </row>
    <row r="51" spans="1:19" ht="18" customHeight="1" x14ac:dyDescent="0.4">
      <c r="A51" s="15"/>
      <c r="B51" s="4" t="s">
        <v>58</v>
      </c>
      <c r="C51" s="12" t="s">
        <v>59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5"/>
      <c r="S51" s="6"/>
    </row>
    <row r="52" spans="1:19" ht="18" customHeight="1" x14ac:dyDescent="0.4">
      <c r="A52" s="16"/>
      <c r="B52" s="4"/>
      <c r="C52" s="13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8"/>
      <c r="Q52" s="6"/>
      <c r="R52" s="6"/>
      <c r="S52" s="6"/>
    </row>
    <row r="53" spans="1:19" ht="18" customHeight="1" x14ac:dyDescent="0.4">
      <c r="A53" s="14" t="s">
        <v>60</v>
      </c>
      <c r="B53" s="4" t="s">
        <v>61</v>
      </c>
      <c r="C53" s="12" t="s">
        <v>62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7"/>
      <c r="O53" s="7"/>
      <c r="P53" s="5"/>
      <c r="Q53" s="5"/>
      <c r="R53" s="5"/>
      <c r="S53" s="5"/>
    </row>
    <row r="54" spans="1:19" ht="18" customHeight="1" x14ac:dyDescent="0.4">
      <c r="A54" s="15"/>
      <c r="B54" s="4"/>
      <c r="C54" s="13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</row>
    <row r="55" spans="1:19" ht="18" customHeight="1" x14ac:dyDescent="0.4">
      <c r="A55" s="15"/>
      <c r="B55" s="4" t="s">
        <v>63</v>
      </c>
      <c r="C55" s="12" t="s">
        <v>64</v>
      </c>
      <c r="D55" s="6"/>
      <c r="E55" s="5"/>
      <c r="F55" s="6"/>
      <c r="G55" s="5"/>
      <c r="H55" s="6"/>
      <c r="I55" s="5"/>
      <c r="J55" s="6"/>
      <c r="K55" s="5"/>
      <c r="L55" s="6"/>
      <c r="M55" s="5"/>
      <c r="N55" s="6"/>
      <c r="O55" s="7"/>
      <c r="P55" s="6"/>
      <c r="Q55" s="5"/>
      <c r="R55" s="6"/>
      <c r="S55" s="5"/>
    </row>
    <row r="56" spans="1:19" ht="18" customHeight="1" x14ac:dyDescent="0.4">
      <c r="A56" s="16"/>
      <c r="B56" s="4"/>
      <c r="C56" s="13"/>
      <c r="D56" s="6"/>
      <c r="E56" s="8"/>
      <c r="F56" s="6"/>
      <c r="G56" s="8"/>
      <c r="H56" s="6"/>
      <c r="I56" s="8"/>
      <c r="J56" s="6"/>
      <c r="K56" s="8"/>
      <c r="L56" s="6"/>
      <c r="M56" s="8"/>
      <c r="N56" s="6"/>
      <c r="O56" s="8"/>
      <c r="P56" s="6"/>
      <c r="Q56" s="8"/>
      <c r="R56" s="8"/>
      <c r="S56" s="6"/>
    </row>
    <row r="57" spans="1:19" ht="18" customHeight="1" x14ac:dyDescent="0.4">
      <c r="A57" s="14" t="s">
        <v>65</v>
      </c>
      <c r="B57" s="4" t="s">
        <v>66</v>
      </c>
      <c r="C57" s="12" t="s">
        <v>67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9"/>
    </row>
    <row r="58" spans="1:19" ht="18" customHeight="1" x14ac:dyDescent="0.4">
      <c r="A58" s="15"/>
      <c r="B58" s="4"/>
      <c r="C58" s="13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9"/>
    </row>
    <row r="59" spans="1:19" ht="18" customHeight="1" x14ac:dyDescent="0.4">
      <c r="A59" s="15"/>
      <c r="B59" s="4" t="s">
        <v>68</v>
      </c>
      <c r="C59" s="12" t="s">
        <v>69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5"/>
    </row>
    <row r="60" spans="1:19" ht="18" customHeight="1" x14ac:dyDescent="0.4">
      <c r="A60" s="16"/>
      <c r="B60" s="4"/>
      <c r="C60" s="1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2" spans="1:19" x14ac:dyDescent="0.4">
      <c r="B62" s="1" t="s">
        <v>70</v>
      </c>
    </row>
    <row r="63" spans="1:19" x14ac:dyDescent="0.4">
      <c r="B63" s="7"/>
      <c r="C63" s="10" t="s">
        <v>71</v>
      </c>
      <c r="D63" t="s">
        <v>72</v>
      </c>
    </row>
    <row r="64" spans="1:19" x14ac:dyDescent="0.4">
      <c r="B64" s="8"/>
      <c r="C64" s="10" t="s">
        <v>73</v>
      </c>
      <c r="D64" t="s">
        <v>74</v>
      </c>
    </row>
    <row r="65" spans="2:3" x14ac:dyDescent="0.4">
      <c r="B65" s="11"/>
      <c r="C65" s="10" t="s">
        <v>75</v>
      </c>
    </row>
  </sheetData>
  <mergeCells count="48">
    <mergeCell ref="B3:B4"/>
    <mergeCell ref="A15:A20"/>
    <mergeCell ref="A23:A36"/>
    <mergeCell ref="A1:B1"/>
    <mergeCell ref="F3:G3"/>
    <mergeCell ref="L3:M3"/>
    <mergeCell ref="N3:O3"/>
    <mergeCell ref="A3:A4"/>
    <mergeCell ref="A37:A40"/>
    <mergeCell ref="A21:A22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A53:A56"/>
    <mergeCell ref="R3:S3"/>
    <mergeCell ref="A41:A52"/>
    <mergeCell ref="D3:E3"/>
    <mergeCell ref="A57:A60"/>
    <mergeCell ref="H3:I3"/>
    <mergeCell ref="J3:K3"/>
    <mergeCell ref="P3:Q3"/>
    <mergeCell ref="C3:C4"/>
    <mergeCell ref="A5:A14"/>
    <mergeCell ref="C5:C6"/>
    <mergeCell ref="C7:C8"/>
    <mergeCell ref="C9:C10"/>
    <mergeCell ref="C11:C12"/>
    <mergeCell ref="C13:C14"/>
    <mergeCell ref="C15:C16"/>
    <mergeCell ref="C39:C40"/>
    <mergeCell ref="C41:C42"/>
    <mergeCell ref="C43:C44"/>
    <mergeCell ref="C45:C46"/>
    <mergeCell ref="C47:C48"/>
    <mergeCell ref="C59:C60"/>
    <mergeCell ref="C49:C50"/>
    <mergeCell ref="C51:C52"/>
    <mergeCell ref="C53:C54"/>
    <mergeCell ref="C55:C56"/>
    <mergeCell ref="C57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Philipp Straub</cp:lastModifiedBy>
  <dcterms:created xsi:type="dcterms:W3CDTF">2026-06-15T10:56:30Z</dcterms:created>
  <dcterms:modified xsi:type="dcterms:W3CDTF">2026-06-15T11:04:46Z</dcterms:modified>
</cp:coreProperties>
</file>